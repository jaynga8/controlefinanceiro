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ce\Desktop\Bootcamp Caixa\tabela\"/>
    </mc:Choice>
  </mc:AlternateContent>
  <xr:revisionPtr revIDLastSave="0" documentId="13_ncr:1_{DF4EE108-66B2-4CB3-A1F0-2116C5C2E335}" xr6:coauthVersionLast="47" xr6:coauthVersionMax="47" xr10:uidLastSave="{00000000-0000-0000-0000-000000000000}"/>
  <bookViews>
    <workbookView xWindow="-120" yWindow="-120" windowWidth="20730" windowHeight="11160" firstSheet="3" activeTab="3" xr2:uid="{52FFE3B9-5DC3-4B64-B305-26E4F328DAC3}"/>
  </bookViews>
  <sheets>
    <sheet name="dados" sheetId="1" state="hidden" r:id="rId1"/>
    <sheet name="Controller" sheetId="2" state="hidden" r:id="rId2"/>
    <sheet name="caixinha" sheetId="4" state="hidden" r:id="rId3"/>
    <sheet name="Dashboard" sheetId="3" r:id="rId4"/>
  </sheets>
  <definedNames>
    <definedName name="SegmentaçãodeDados_mês">#N/A</definedName>
  </definedNames>
  <calcPr calcId="191029"/>
  <pivotCaches>
    <pivotCache cacheId="2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4" l="1"/>
  <c r="D13" i="4"/>
  <c r="D14" i="4"/>
  <c r="D15" i="4"/>
  <c r="D16" i="4"/>
  <c r="D17" i="4"/>
  <c r="D12" i="4"/>
  <c r="B2" i="1"/>
  <c r="B3" i="1"/>
  <c r="B4" i="1"/>
  <c r="B5" i="1"/>
  <c r="B6" i="1"/>
  <c r="D6" i="4" l="1"/>
</calcChain>
</file>

<file path=xl/sharedStrings.xml><?xml version="1.0" encoding="utf-8"?>
<sst xmlns="http://schemas.openxmlformats.org/spreadsheetml/2006/main" count="51" uniqueCount="31">
  <si>
    <t>Data</t>
  </si>
  <si>
    <t xml:space="preserve"> </t>
  </si>
  <si>
    <t>Tipo</t>
  </si>
  <si>
    <t xml:space="preserve">Categoria </t>
  </si>
  <si>
    <t>Descrição</t>
  </si>
  <si>
    <t>Valor</t>
  </si>
  <si>
    <t>Operação Bancaria</t>
  </si>
  <si>
    <t>Status</t>
  </si>
  <si>
    <t>entrada</t>
  </si>
  <si>
    <t>renda fixa</t>
  </si>
  <si>
    <t>salário mensal</t>
  </si>
  <si>
    <t>ted</t>
  </si>
  <si>
    <t>recebido</t>
  </si>
  <si>
    <t>saida</t>
  </si>
  <si>
    <t>alimentação</t>
  </si>
  <si>
    <t>supermercado</t>
  </si>
  <si>
    <t>deb cartão</t>
  </si>
  <si>
    <t>pago</t>
  </si>
  <si>
    <t>Rótulos de Linha</t>
  </si>
  <si>
    <t>Total Geral</t>
  </si>
  <si>
    <t>Soma de Valor</t>
  </si>
  <si>
    <t>beleza</t>
  </si>
  <si>
    <t>salão</t>
  </si>
  <si>
    <t>pix</t>
  </si>
  <si>
    <t>rendimentos</t>
  </si>
  <si>
    <t>poupança</t>
  </si>
  <si>
    <t>mês</t>
  </si>
  <si>
    <t>Data de lançamento</t>
  </si>
  <si>
    <t>Depósitos reservados</t>
  </si>
  <si>
    <t>Total reservado</t>
  </si>
  <si>
    <t>Meta de 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</si>
</sst>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164" fontId="0" fillId="0" borderId="0" xfId="0" applyNumberFormat="1"/>
    <xf numFmtId="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4">
    <dxf>
      <font>
        <color theme="0"/>
      </font>
      <fill>
        <patternFill>
          <bgColor theme="4"/>
        </patternFill>
      </fill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numFmt numFmtId="1" formatCode="0"/>
    </dxf>
    <dxf>
      <numFmt numFmtId="164" formatCode="&quot;R$&quot;\ #,##0.00"/>
    </dxf>
  </dxfs>
  <tableStyles count="1" defaultTableStyle="TableStyleMedium2" defaultPivotStyle="PivotStyleLight16">
    <tableStyle name="SlicerStyleLight1 2" pivot="0" table="0" count="10" xr9:uid="{3D5934C0-614E-4984-8558-D510358FADA6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[tabela.xlsx]Controller!Tabela dinâmica2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Controller!$D$4:$D$5</c:f>
              <c:strCache>
                <c:ptCount val="1"/>
                <c:pt idx="0">
                  <c:v>renda fixa</c:v>
                </c:pt>
              </c:strCache>
            </c:strRef>
          </c:cat>
          <c:val>
            <c:numRef>
              <c:f>Controller!$E$4:$E$5</c:f>
              <c:numCache>
                <c:formatCode>"R$"\ #,##0.00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4-460C-896F-04EA52E0AD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2577887"/>
        <c:axId val="300410751"/>
      </c:barChart>
      <c:catAx>
        <c:axId val="302577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0410751"/>
        <c:crosses val="autoZero"/>
        <c:auto val="1"/>
        <c:lblAlgn val="ctr"/>
        <c:lblOffset val="100"/>
        <c:noMultiLvlLbl val="0"/>
      </c:catAx>
      <c:valAx>
        <c:axId val="300410751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30257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[tabela.xlsx]Controller!Tabela dinâmica1</c:name>
    <c:fmtId val="7"/>
  </c:pivotSource>
  <c:chart>
    <c:autoTitleDeleted val="1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Controller!$A$4:$A$6</c:f>
              <c:strCache>
                <c:ptCount val="2"/>
                <c:pt idx="0">
                  <c:v>alimentação</c:v>
                </c:pt>
                <c:pt idx="1">
                  <c:v>beleza</c:v>
                </c:pt>
              </c:strCache>
            </c:strRef>
          </c:cat>
          <c:val>
            <c:numRef>
              <c:f>Controller!$B$4:$B$6</c:f>
              <c:numCache>
                <c:formatCode>"R$"\ #,##0.00</c:formatCode>
                <c:ptCount val="2"/>
                <c:pt idx="0">
                  <c:v>600</c:v>
                </c:pt>
                <c:pt idx="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89-4785-9DEF-9589C953F8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02570639"/>
        <c:axId val="302572559"/>
      </c:barChart>
      <c:catAx>
        <c:axId val="302570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2572559"/>
        <c:crosses val="autoZero"/>
        <c:auto val="1"/>
        <c:lblAlgn val="ctr"/>
        <c:lblOffset val="100"/>
        <c:noMultiLvlLbl val="0"/>
      </c:catAx>
      <c:valAx>
        <c:axId val="302572559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30257063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[tabela.xlsx]Controller!Tabela dinâmica1</c:name>
    <c:fmtId val="16"/>
  </c:pivotSource>
  <c:chart>
    <c:autoTitleDeleted val="1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02570639"/>
        <c:axId val="302572559"/>
      </c:barChart>
      <c:catAx>
        <c:axId val="302570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2572559"/>
        <c:crosses val="autoZero"/>
        <c:auto val="1"/>
        <c:lblAlgn val="ctr"/>
        <c:lblOffset val="100"/>
        <c:noMultiLvlLbl val="0"/>
      </c:catAx>
      <c:valAx>
        <c:axId val="302572559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30257063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caixinha!$C$6</c:f>
              <c:strCache>
                <c:ptCount val="1"/>
                <c:pt idx="0">
                  <c:v>Total reservado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caixinha!$D$6</c:f>
              <c:numCache>
                <c:formatCode>General</c:formatCode>
                <c:ptCount val="1"/>
                <c:pt idx="0">
                  <c:v>4362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5-4FBD-BA64-B400CF5E5248}"/>
            </c:ext>
          </c:extLst>
        </c:ser>
        <c:ser>
          <c:idx val="1"/>
          <c:order val="1"/>
          <c:tx>
            <c:strRef>
              <c:f>caixinha!$C$7</c:f>
              <c:strCache>
                <c:ptCount val="1"/>
                <c:pt idx="0">
                  <c:v>Meta de reserva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caixinha!$D$7</c:f>
              <c:numCache>
                <c:formatCode>General</c:formatCode>
                <c:ptCount val="1"/>
                <c:pt idx="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05-4FBD-BA64-B400CF5E52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34445999"/>
        <c:axId val="534440239"/>
      </c:barChart>
      <c:catAx>
        <c:axId val="53444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4440239"/>
        <c:crosses val="autoZero"/>
        <c:auto val="1"/>
        <c:lblAlgn val="ctr"/>
        <c:lblOffset val="100"/>
        <c:noMultiLvlLbl val="0"/>
      </c:catAx>
      <c:valAx>
        <c:axId val="5344402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3444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12" Type="http://schemas.openxmlformats.org/officeDocument/2006/relationships/chart" Target="../charts/chart4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image" Target="../media/image2.sv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370794</xdr:colOff>
      <xdr:row>27</xdr:row>
      <xdr:rowOff>134370</xdr:rowOff>
    </xdr:from>
    <xdr:to>
      <xdr:col>9</xdr:col>
      <xdr:colOff>144574</xdr:colOff>
      <xdr:row>43</xdr:row>
      <xdr:rowOff>21771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A99F8A-FFB6-429C-9352-4FCE9B99B6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369094</xdr:colOff>
      <xdr:row>26</xdr:row>
      <xdr:rowOff>74150</xdr:rowOff>
    </xdr:from>
    <xdr:to>
      <xdr:col>9</xdr:col>
      <xdr:colOff>149678</xdr:colOff>
      <xdr:row>29</xdr:row>
      <xdr:rowOff>14619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ABC305A1-1AEE-4D57-A4B2-67544D49FDDE}"/>
            </a:ext>
          </a:extLst>
        </xdr:cNvPr>
        <xdr:cNvSpPr/>
      </xdr:nvSpPr>
      <xdr:spPr>
        <a:xfrm>
          <a:off x="2532630" y="4673364"/>
          <a:ext cx="4543084" cy="471148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652464</xdr:colOff>
      <xdr:row>26</xdr:row>
      <xdr:rowOff>131980</xdr:rowOff>
    </xdr:from>
    <xdr:to>
      <xdr:col>5</xdr:col>
      <xdr:colOff>69057</xdr:colOff>
      <xdr:row>28</xdr:row>
      <xdr:rowOff>155792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13E6A303-975F-4841-90BB-C5E771CFD351}"/>
            </a:ext>
          </a:extLst>
        </xdr:cNvPr>
        <xdr:cNvSpPr txBox="1"/>
      </xdr:nvSpPr>
      <xdr:spPr>
        <a:xfrm>
          <a:off x="2816000" y="4731194"/>
          <a:ext cx="1457664" cy="3775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Entrada</a:t>
          </a:r>
        </a:p>
        <a:p>
          <a:endParaRPr lang="pt-BR" sz="1800" b="1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pt-BR" sz="1800" b="1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369094</xdr:colOff>
      <xdr:row>7</xdr:row>
      <xdr:rowOff>144577</xdr:rowOff>
    </xdr:from>
    <xdr:to>
      <xdr:col>9</xdr:col>
      <xdr:colOff>122464</xdr:colOff>
      <xdr:row>24</xdr:row>
      <xdr:rowOff>91507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DE0BFE8E-624D-A750-FD23-B6D485C4A18E}"/>
            </a:ext>
          </a:extLst>
        </xdr:cNvPr>
        <xdr:cNvGrpSpPr/>
      </xdr:nvGrpSpPr>
      <xdr:grpSpPr>
        <a:xfrm>
          <a:off x="2532630" y="1382827"/>
          <a:ext cx="4515870" cy="2954109"/>
          <a:chOff x="2532630" y="1382827"/>
          <a:chExt cx="4515870" cy="2954109"/>
        </a:xfrm>
      </xdr:grpSpPr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6DDCC027-BA45-CDE9-8B60-CBF98807E0FA}"/>
              </a:ext>
            </a:extLst>
          </xdr:cNvPr>
          <xdr:cNvGrpSpPr/>
        </xdr:nvGrpSpPr>
        <xdr:grpSpPr>
          <a:xfrm>
            <a:off x="2532630" y="1382827"/>
            <a:ext cx="4515870" cy="2954109"/>
            <a:chOff x="2532630" y="1382827"/>
            <a:chExt cx="4515870" cy="2954109"/>
          </a:xfrm>
        </xdr:grpSpPr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1D404A6C-BC2C-4D2D-8F2E-93ABA7185A1B}"/>
                </a:ext>
              </a:extLst>
            </xdr:cNvPr>
            <xdr:cNvGraphicFramePr>
              <a:graphicFrameLocks/>
            </xdr:cNvGraphicFramePr>
          </xdr:nvGraphicFramePr>
          <xdr:xfrm>
            <a:off x="2534330" y="1619249"/>
            <a:ext cx="4500562" cy="271768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6" name="Retângulo 5">
              <a:extLst>
                <a:ext uri="{FF2B5EF4-FFF2-40B4-BE49-F238E27FC236}">
                  <a16:creationId xmlns:a16="http://schemas.microsoft.com/office/drawing/2014/main" id="{94B1E8A0-C365-CF57-336F-289A61CCBAD1}"/>
                </a:ext>
              </a:extLst>
            </xdr:cNvPr>
            <xdr:cNvSpPr/>
          </xdr:nvSpPr>
          <xdr:spPr>
            <a:xfrm>
              <a:off x="2532630" y="1382827"/>
              <a:ext cx="4515870" cy="472849"/>
            </a:xfrm>
            <a:prstGeom prst="rect">
              <a:avLst/>
            </a:prstGeom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8D475819-0F9B-310D-C603-9217DC0429AF}"/>
                </a:ext>
              </a:extLst>
            </xdr:cNvPr>
            <xdr:cNvSpPr txBox="1"/>
          </xdr:nvSpPr>
          <xdr:spPr>
            <a:xfrm>
              <a:off x="2830285" y="1442357"/>
              <a:ext cx="1457664" cy="3775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1800" b="1">
                  <a:solidFill>
                    <a:schemeClr val="bg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Gastos</a:t>
              </a:r>
            </a:p>
            <a:p>
              <a:endParaRPr lang="pt-BR" sz="1800" b="1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endParaRPr>
            </a:p>
          </xdr:txBody>
        </xdr:sp>
      </xdr:grpSp>
      <xdr:pic>
        <xdr:nvPicPr>
          <xdr:cNvPr id="11" name="Gráfico 10" descr="Dinheiro com preenchimento sólido">
            <a:extLst>
              <a:ext uri="{FF2B5EF4-FFF2-40B4-BE49-F238E27FC236}">
                <a16:creationId xmlns:a16="http://schemas.microsoft.com/office/drawing/2014/main" id="{F3E4EB05-6DFA-052A-B7A2-6CC053586E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 flipV="1">
            <a:off x="3627684" y="1444263"/>
            <a:ext cx="385744" cy="433523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93549</xdr:colOff>
      <xdr:row>26</xdr:row>
      <xdr:rowOff>158183</xdr:rowOff>
    </xdr:from>
    <xdr:to>
      <xdr:col>4</xdr:col>
      <xdr:colOff>479293</xdr:colOff>
      <xdr:row>28</xdr:row>
      <xdr:rowOff>129586</xdr:rowOff>
    </xdr:to>
    <xdr:pic>
      <xdr:nvPicPr>
        <xdr:cNvPr id="13" name="Gráfico 12" descr="Dólar com preenchimento sólido">
          <a:extLst>
            <a:ext uri="{FF2B5EF4-FFF2-40B4-BE49-F238E27FC236}">
              <a16:creationId xmlns:a16="http://schemas.microsoft.com/office/drawing/2014/main" id="{5748ECEB-9D79-BF67-FABB-92C996740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flipV="1">
          <a:off x="3617799" y="4757397"/>
          <a:ext cx="385744" cy="325189"/>
        </a:xfrm>
        <a:prstGeom prst="rect">
          <a:avLst/>
        </a:prstGeom>
      </xdr:spPr>
    </xdr:pic>
    <xdr:clientData/>
  </xdr:twoCellAnchor>
  <xdr:twoCellAnchor editAs="oneCell">
    <xdr:from>
      <xdr:col>0</xdr:col>
      <xdr:colOff>200703</xdr:colOff>
      <xdr:row>11</xdr:row>
      <xdr:rowOff>45925</xdr:rowOff>
    </xdr:from>
    <xdr:to>
      <xdr:col>0</xdr:col>
      <xdr:colOff>1360712</xdr:colOff>
      <xdr:row>18</xdr:row>
      <xdr:rowOff>122465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mês">
              <a:extLst>
                <a:ext uri="{FF2B5EF4-FFF2-40B4-BE49-F238E27FC236}">
                  <a16:creationId xmlns:a16="http://schemas.microsoft.com/office/drawing/2014/main" id="{414085FE-27F3-444C-83F7-7DE8647BD1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703" y="1991746"/>
              <a:ext cx="1160009" cy="1314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68034</xdr:colOff>
      <xdr:row>1</xdr:row>
      <xdr:rowOff>54429</xdr:rowOff>
    </xdr:from>
    <xdr:to>
      <xdr:col>16</xdr:col>
      <xdr:colOff>585106</xdr:colOff>
      <xdr:row>6</xdr:row>
      <xdr:rowOff>122465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087C7D11-FD95-B015-4BAE-207B4CD28055}"/>
            </a:ext>
          </a:extLst>
        </xdr:cNvPr>
        <xdr:cNvSpPr/>
      </xdr:nvSpPr>
      <xdr:spPr>
        <a:xfrm>
          <a:off x="1551213" y="231322"/>
          <a:ext cx="10722429" cy="9525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503463</xdr:colOff>
      <xdr:row>2</xdr:row>
      <xdr:rowOff>13607</xdr:rowOff>
    </xdr:from>
    <xdr:to>
      <xdr:col>6</xdr:col>
      <xdr:colOff>408214</xdr:colOff>
      <xdr:row>6</xdr:row>
      <xdr:rowOff>108858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B3FBAD83-A115-B612-48CB-5575074F4622}"/>
            </a:ext>
          </a:extLst>
        </xdr:cNvPr>
        <xdr:cNvSpPr txBox="1"/>
      </xdr:nvSpPr>
      <xdr:spPr>
        <a:xfrm>
          <a:off x="2666999" y="367393"/>
          <a:ext cx="2626179" cy="802822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500" b="1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Oi,</a:t>
          </a:r>
          <a:r>
            <a:rPr lang="pt-BR" sz="1500" b="1" baseline="0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Jayce</a:t>
          </a:r>
        </a:p>
        <a:p>
          <a:r>
            <a:rPr lang="pt-BR" sz="1200" b="0" baseline="0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Acompanhamento Financeiro</a:t>
          </a:r>
          <a:endParaRPr lang="pt-BR" sz="1200" b="0">
            <a:solidFill>
              <a:schemeClr val="accent1">
                <a:lumMod val="75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353786</xdr:colOff>
      <xdr:row>1</xdr:row>
      <xdr:rowOff>108857</xdr:rowOff>
    </xdr:from>
    <xdr:to>
      <xdr:col>2</xdr:col>
      <xdr:colOff>587829</xdr:colOff>
      <xdr:row>6</xdr:row>
      <xdr:rowOff>138793</xdr:rowOff>
    </xdr:to>
    <xdr:pic>
      <xdr:nvPicPr>
        <xdr:cNvPr id="19" name="Gráfico 18" descr="Apresentação com gráfico de barras com preenchimento sólido">
          <a:extLst>
            <a:ext uri="{FF2B5EF4-FFF2-40B4-BE49-F238E27FC236}">
              <a16:creationId xmlns:a16="http://schemas.microsoft.com/office/drawing/2014/main" id="{CE78BC6E-9551-14AA-9FCD-FB36AD543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836965" y="285750"/>
          <a:ext cx="914400" cy="914400"/>
        </a:xfrm>
        <a:prstGeom prst="rect">
          <a:avLst/>
        </a:prstGeom>
      </xdr:spPr>
    </xdr:pic>
    <xdr:clientData/>
  </xdr:twoCellAnchor>
  <xdr:twoCellAnchor>
    <xdr:from>
      <xdr:col>9</xdr:col>
      <xdr:colOff>303780</xdr:colOff>
      <xdr:row>7</xdr:row>
      <xdr:rowOff>122463</xdr:rowOff>
    </xdr:from>
    <xdr:to>
      <xdr:col>16</xdr:col>
      <xdr:colOff>57150</xdr:colOff>
      <xdr:row>24</xdr:row>
      <xdr:rowOff>94228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B67919D7-E87E-7139-EC62-1DF98DFF8B0A}"/>
            </a:ext>
          </a:extLst>
        </xdr:cNvPr>
        <xdr:cNvGrpSpPr/>
      </xdr:nvGrpSpPr>
      <xdr:grpSpPr>
        <a:xfrm>
          <a:off x="7229816" y="1360713"/>
          <a:ext cx="4515870" cy="2978944"/>
          <a:chOff x="7229816" y="1360713"/>
          <a:chExt cx="4515870" cy="2978944"/>
        </a:xfrm>
      </xdr:grpSpPr>
      <xdr:graphicFrame macro="">
        <xdr:nvGraphicFramePr>
          <xdr:cNvPr id="26" name="Gráfico 25">
            <a:extLst>
              <a:ext uri="{FF2B5EF4-FFF2-40B4-BE49-F238E27FC236}">
                <a16:creationId xmlns:a16="http://schemas.microsoft.com/office/drawing/2014/main" id="{50F74EBB-A7DB-DF90-C40B-D1A4BA35F497}"/>
              </a:ext>
            </a:extLst>
          </xdr:cNvPr>
          <xdr:cNvGraphicFramePr>
            <a:graphicFrameLocks/>
          </xdr:cNvGraphicFramePr>
        </xdr:nvGraphicFramePr>
        <xdr:xfrm>
          <a:off x="7231516" y="1621970"/>
          <a:ext cx="4500562" cy="27176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27" name="Retângulo 26">
            <a:extLst>
              <a:ext uri="{FF2B5EF4-FFF2-40B4-BE49-F238E27FC236}">
                <a16:creationId xmlns:a16="http://schemas.microsoft.com/office/drawing/2014/main" id="{D5356C01-A32A-9958-B260-D07FBC040CC6}"/>
              </a:ext>
            </a:extLst>
          </xdr:cNvPr>
          <xdr:cNvSpPr/>
        </xdr:nvSpPr>
        <xdr:spPr>
          <a:xfrm>
            <a:off x="7229816" y="1385548"/>
            <a:ext cx="4515870" cy="472849"/>
          </a:xfrm>
          <a:prstGeom prst="rect">
            <a:avLst/>
          </a:prstGeom>
          <a:solidFill>
            <a:schemeClr val="tx2">
              <a:lumMod val="75000"/>
              <a:lumOff val="25000"/>
            </a:schemeClr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EC54F596-A167-292F-966B-71ACC4287758}"/>
              </a:ext>
            </a:extLst>
          </xdr:cNvPr>
          <xdr:cNvSpPr txBox="1"/>
        </xdr:nvSpPr>
        <xdr:spPr>
          <a:xfrm>
            <a:off x="7527471" y="1445078"/>
            <a:ext cx="1457664" cy="3775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800" b="1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Economias</a:t>
            </a:r>
          </a:p>
          <a:p>
            <a:endParaRPr lang="pt-BR" sz="18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pic>
        <xdr:nvPicPr>
          <xdr:cNvPr id="30" name="Gráfico 29" descr="Cofrinho com preenchimento sólido">
            <a:extLst>
              <a:ext uri="{FF2B5EF4-FFF2-40B4-BE49-F238E27FC236}">
                <a16:creationId xmlns:a16="http://schemas.microsoft.com/office/drawing/2014/main" id="{263034E8-365B-F3FC-C9BC-DCF6E3AA82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8722177" y="1360713"/>
            <a:ext cx="517073" cy="560615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167709</xdr:colOff>
      <xdr:row>11</xdr:row>
      <xdr:rowOff>136071</xdr:rowOff>
    </xdr:from>
    <xdr:to>
      <xdr:col>15</xdr:col>
      <xdr:colOff>90148</xdr:colOff>
      <xdr:row>23</xdr:row>
      <xdr:rowOff>146956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CD9932A4-D29E-446A-9C2E-484C365F6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ce" refreshedDate="45669.992460532405" createdVersion="8" refreshedVersion="8" minRefreshableVersion="3" recordCount="6" xr:uid="{F95519FD-2D25-4C10-B0BD-5D1CFC76FAD7}">
  <cacheSource type="worksheet">
    <worksheetSource name="Tabela2"/>
  </cacheSource>
  <cacheFields count="8">
    <cacheField name="Data" numFmtId="0">
      <sharedItems containsNonDate="0" containsDate="1" containsString="0" containsBlank="1" minDate="2023-01-02T00:00:00" maxDate="2023-02-02T00:00:00"/>
    </cacheField>
    <cacheField name="mês" numFmtId="1">
      <sharedItems containsString="0" containsBlank="1" containsNumber="1" containsInteger="1" minValue="1" maxValue="2" count="3">
        <n v="2"/>
        <n v="1"/>
        <m/>
      </sharedItems>
    </cacheField>
    <cacheField name="Tipo" numFmtId="0">
      <sharedItems containsBlank="1" count="3">
        <s v="entrada"/>
        <s v="saida"/>
        <m/>
      </sharedItems>
    </cacheField>
    <cacheField name="Categoria " numFmtId="0">
      <sharedItems containsBlank="1" count="4">
        <s v="renda fixa"/>
        <s v="alimentação"/>
        <s v="beleza"/>
        <m/>
      </sharedItems>
    </cacheField>
    <cacheField name="Descrição" numFmtId="0">
      <sharedItems containsBlank="1"/>
    </cacheField>
    <cacheField name="Valor" numFmtId="164">
      <sharedItems containsString="0" containsBlank="1" containsNumber="1" containsInteger="1" minValue="100" maxValue="5000"/>
    </cacheField>
    <cacheField name="Operação Bancaria" numFmtId="0">
      <sharedItems containsBlank="1"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 pivotCacheId="1900462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d v="2023-02-01T00:00:00"/>
    <x v="0"/>
    <x v="0"/>
    <x v="0"/>
    <s v="salário mensal"/>
    <n v="5000"/>
    <s v="ted"/>
    <s v="recebido"/>
  </r>
  <r>
    <d v="2023-01-02T00:00:00"/>
    <x v="1"/>
    <x v="1"/>
    <x v="1"/>
    <s v="supermercado"/>
    <n v="500"/>
    <s v="deb cartão"/>
    <s v="pago"/>
  </r>
  <r>
    <d v="2023-01-03T00:00:00"/>
    <x v="1"/>
    <x v="1"/>
    <x v="1"/>
    <s v="supermercado"/>
    <n v="100"/>
    <s v="deb cartão"/>
    <s v="pago"/>
  </r>
  <r>
    <d v="2023-01-03T00:00:00"/>
    <x v="1"/>
    <x v="1"/>
    <x v="2"/>
    <s v="salão"/>
    <n v="200"/>
    <s v="pix"/>
    <s v="pago"/>
  </r>
  <r>
    <d v="2023-01-03T00:00:00"/>
    <x v="1"/>
    <x v="0"/>
    <x v="0"/>
    <s v="rendimentos"/>
    <n v="100"/>
    <s v="poupança"/>
    <s v="recebido"/>
  </r>
  <r>
    <m/>
    <x v="2"/>
    <x v="2"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4E2AA-45FF-4998-A6BB-93FB3AC87B68}" name="Tabela dinâmica2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D3:E5" firstHeaderRow="1" firstDataRow="1" firstDataCol="1" rowPageCount="1" colPageCount="1"/>
  <pivotFields count="8">
    <pivotField showAll="0"/>
    <pivotField showAll="0">
      <items count="4">
        <item x="1"/>
        <item h="1" x="0"/>
        <item h="1"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2">
    <i>
      <x v="2"/>
    </i>
    <i t="grand">
      <x/>
    </i>
  </rowItems>
  <colItems count="1">
    <i/>
  </colItems>
  <pageFields count="1">
    <pageField fld="2" item="0" hier="-1"/>
  </pageFields>
  <dataFields count="1">
    <dataField name="Soma de Valor" fld="5" baseField="2" baseItem="2" numFmtId="16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1075A-6E39-4400-AD63-3389046CE833}" name="Tabela dinâmica1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A3:B6" firstHeaderRow="1" firstDataRow="1" firstDataCol="1" rowPageCount="1" colPageCount="1"/>
  <pivotFields count="8">
    <pivotField showAll="0"/>
    <pivotField showAll="0">
      <items count="4">
        <item x="1"/>
        <item h="1" x="0"/>
        <item h="1"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 sortType="ascending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item="1" hier="-1"/>
  </pageFields>
  <dataFields count="1">
    <dataField name="Soma de Valor" fld="5" baseField="2" baseItem="0" numFmtId="164"/>
  </dataField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B6194CDA-5B8E-4CC2-85AF-21DF62237F37}" sourceName="mês">
  <pivotTables>
    <pivotTable tabId="2" name="Tabela dinâmica1"/>
    <pivotTable tabId="2" name="Tabela dinâmica2"/>
  </pivotTables>
  <data>
    <tabular pivotCacheId="190046252">
      <items count="3">
        <i x="1" s="1"/>
        <i x="0"/>
        <i x="2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088952F3-2BA1-40C4-8D05-C659874AA4A8}" cache="SegmentaçãodeDados_mês" caption="mês" style="SlicerStyleLight1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F2DA92-044B-4B30-9307-38E9162FA7B0}" name="Tabela2" displayName="Tabela2" ref="A1:H7" totalsRowShown="0">
  <autoFilter ref="A1:H7" xr:uid="{1FF2DA92-044B-4B30-9307-38E9162FA7B0}"/>
  <tableColumns count="8">
    <tableColumn id="1" xr3:uid="{50887B3E-01D6-4797-9A26-6FBEC6BDE32D}" name="Data"/>
    <tableColumn id="8" xr3:uid="{89E67E6F-D409-4B59-930B-7CCB08A4A6A7}" name="mês" dataDxfId="2">
      <calculatedColumnFormula>MONTH(Tabela2[[#This Row],[Data]])</calculatedColumnFormula>
    </tableColumn>
    <tableColumn id="2" xr3:uid="{7FA16ED0-9FD8-4E20-8E9A-16124CDC7BB5}" name="Tipo"/>
    <tableColumn id="3" xr3:uid="{F1F66F4C-6B33-41F3-B4F2-E2B0C6BF3309}" name="Categoria "/>
    <tableColumn id="4" xr3:uid="{2085C773-6362-4CB6-A8E3-73D43BBEADC5}" name="Descrição"/>
    <tableColumn id="5" xr3:uid="{9F8E8E83-F6B8-4D0E-B2CD-9C71F5D8CF9D}" name="Valor" dataDxfId="3"/>
    <tableColumn id="6" xr3:uid="{96F6BD39-A863-43E7-8DEB-A22030FE88E8}" name="Operação Bancaria"/>
    <tableColumn id="7" xr3:uid="{AB5A0269-367B-4AA2-A721-C764BAC8DE05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724D9A-E62F-4FEE-853A-0753E1961A2A}" name="Tabela5" displayName="Tabela5" ref="C10:D18" totalsRowShown="0">
  <autoFilter ref="C10:D18" xr:uid="{BD724D9A-E62F-4FEE-853A-0753E1961A2A}"/>
  <tableColumns count="2">
    <tableColumn id="1" xr3:uid="{367E5E9C-942D-4069-80FE-6E4E3679012E}" name="Data de lançamento"/>
    <tableColumn id="2" xr3:uid="{130FC2E3-F5B1-4144-8AB9-C952795D9A8D}" name="Depósitos reserva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6BCB-DC11-44E4-910F-FF0C68EB1D44}">
  <dimension ref="A1:H7"/>
  <sheetViews>
    <sheetView workbookViewId="0">
      <selection activeCell="A7" sqref="A7"/>
    </sheetView>
  </sheetViews>
  <sheetFormatPr defaultColWidth="18.125" defaultRowHeight="14.25" x14ac:dyDescent="0.2"/>
  <sheetData>
    <row r="1" spans="1:8" x14ac:dyDescent="0.2">
      <c r="A1" t="s">
        <v>0</v>
      </c>
      <c r="B1" t="s">
        <v>26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44958</v>
      </c>
      <c r="B2" s="7">
        <f>MONTH(Tabela2[[#This Row],[Data]])</f>
        <v>2</v>
      </c>
      <c r="C2" t="s">
        <v>8</v>
      </c>
      <c r="D2" t="s">
        <v>9</v>
      </c>
      <c r="E2" t="s">
        <v>10</v>
      </c>
      <c r="F2" s="6">
        <v>5000</v>
      </c>
      <c r="G2" t="s">
        <v>11</v>
      </c>
      <c r="H2" t="s">
        <v>12</v>
      </c>
    </row>
    <row r="3" spans="1:8" x14ac:dyDescent="0.2">
      <c r="A3" s="1">
        <v>44928</v>
      </c>
      <c r="B3" s="7">
        <f>MONTH(Tabela2[[#This Row],[Data]])</f>
        <v>1</v>
      </c>
      <c r="C3" t="s">
        <v>13</v>
      </c>
      <c r="D3" t="s">
        <v>14</v>
      </c>
      <c r="E3" t="s">
        <v>15</v>
      </c>
      <c r="F3" s="6">
        <v>500</v>
      </c>
      <c r="G3" t="s">
        <v>16</v>
      </c>
      <c r="H3" t="s">
        <v>17</v>
      </c>
    </row>
    <row r="4" spans="1:8" x14ac:dyDescent="0.2">
      <c r="A4" s="1">
        <v>44929</v>
      </c>
      <c r="B4" s="7">
        <f>MONTH(Tabela2[[#This Row],[Data]])</f>
        <v>1</v>
      </c>
      <c r="C4" t="s">
        <v>13</v>
      </c>
      <c r="D4" t="s">
        <v>14</v>
      </c>
      <c r="E4" t="s">
        <v>15</v>
      </c>
      <c r="F4" s="6">
        <v>100</v>
      </c>
      <c r="G4" t="s">
        <v>16</v>
      </c>
      <c r="H4" t="s">
        <v>17</v>
      </c>
    </row>
    <row r="5" spans="1:8" x14ac:dyDescent="0.2">
      <c r="A5" s="1">
        <v>44929</v>
      </c>
      <c r="B5" s="7">
        <f>MONTH(Tabela2[[#This Row],[Data]])</f>
        <v>1</v>
      </c>
      <c r="C5" t="s">
        <v>13</v>
      </c>
      <c r="D5" t="s">
        <v>21</v>
      </c>
      <c r="E5" t="s">
        <v>22</v>
      </c>
      <c r="F5" s="6">
        <v>200</v>
      </c>
      <c r="G5" t="s">
        <v>23</v>
      </c>
      <c r="H5" t="s">
        <v>17</v>
      </c>
    </row>
    <row r="6" spans="1:8" x14ac:dyDescent="0.2">
      <c r="A6" s="1">
        <v>44929</v>
      </c>
      <c r="B6" s="7">
        <f>MONTH(Tabela2[[#This Row],[Data]])</f>
        <v>1</v>
      </c>
      <c r="C6" t="s">
        <v>8</v>
      </c>
      <c r="D6" t="s">
        <v>9</v>
      </c>
      <c r="E6" t="s">
        <v>24</v>
      </c>
      <c r="F6" s="6">
        <v>100</v>
      </c>
      <c r="G6" t="s">
        <v>25</v>
      </c>
      <c r="H6" t="s">
        <v>12</v>
      </c>
    </row>
    <row r="7" spans="1:8" x14ac:dyDescent="0.2">
      <c r="B7" s="7"/>
      <c r="F7" s="6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7253-3E8E-42E2-91B0-416E836F6B2C}">
  <dimension ref="A1:E6"/>
  <sheetViews>
    <sheetView workbookViewId="0">
      <selection activeCell="A7" sqref="A7"/>
    </sheetView>
  </sheetViews>
  <sheetFormatPr defaultRowHeight="14.25" x14ac:dyDescent="0.2"/>
  <cols>
    <col min="1" max="1" width="16.125" bestFit="1" customWidth="1"/>
    <col min="2" max="2" width="13.625" bestFit="1" customWidth="1"/>
    <col min="3" max="3" width="10.75" bestFit="1" customWidth="1"/>
    <col min="4" max="4" width="16.125" bestFit="1" customWidth="1"/>
    <col min="5" max="5" width="13.625" bestFit="1" customWidth="1"/>
  </cols>
  <sheetData>
    <row r="1" spans="1:5" x14ac:dyDescent="0.2">
      <c r="A1" s="2" t="s">
        <v>2</v>
      </c>
      <c r="B1" t="s">
        <v>13</v>
      </c>
      <c r="D1" s="2" t="s">
        <v>2</v>
      </c>
      <c r="E1" t="s">
        <v>8</v>
      </c>
    </row>
    <row r="3" spans="1:5" x14ac:dyDescent="0.2">
      <c r="A3" s="2" t="s">
        <v>18</v>
      </c>
      <c r="B3" t="s">
        <v>20</v>
      </c>
      <c r="D3" s="2" t="s">
        <v>18</v>
      </c>
      <c r="E3" t="s">
        <v>20</v>
      </c>
    </row>
    <row r="4" spans="1:5" x14ac:dyDescent="0.2">
      <c r="A4" s="3" t="s">
        <v>14</v>
      </c>
      <c r="B4" s="6">
        <v>600</v>
      </c>
      <c r="D4" s="3" t="s">
        <v>9</v>
      </c>
      <c r="E4" s="6">
        <v>100</v>
      </c>
    </row>
    <row r="5" spans="1:5" x14ac:dyDescent="0.2">
      <c r="A5" s="3" t="s">
        <v>21</v>
      </c>
      <c r="B5" s="6">
        <v>200</v>
      </c>
      <c r="D5" s="3" t="s">
        <v>19</v>
      </c>
      <c r="E5" s="6">
        <v>100</v>
      </c>
    </row>
    <row r="6" spans="1:5" x14ac:dyDescent="0.2">
      <c r="A6" s="3" t="s">
        <v>19</v>
      </c>
      <c r="B6" s="6">
        <v>800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231B-A0EB-4520-BB05-78BDAE82354E}">
  <dimension ref="C1:D18"/>
  <sheetViews>
    <sheetView workbookViewId="0">
      <selection activeCell="A7" sqref="A7"/>
    </sheetView>
  </sheetViews>
  <sheetFormatPr defaultRowHeight="14.25" x14ac:dyDescent="0.2"/>
  <cols>
    <col min="3" max="3" width="18.375" customWidth="1"/>
    <col min="4" max="4" width="20" customWidth="1"/>
  </cols>
  <sheetData>
    <row r="1" spans="3:4" s="4" customFormat="1" x14ac:dyDescent="0.2"/>
    <row r="2" spans="3:4" s="4" customFormat="1" x14ac:dyDescent="0.2"/>
    <row r="3" spans="3:4" s="4" customFormat="1" x14ac:dyDescent="0.2"/>
    <row r="4" spans="3:4" s="4" customFormat="1" x14ac:dyDescent="0.2"/>
    <row r="6" spans="3:4" ht="15" x14ac:dyDescent="0.25">
      <c r="C6" s="8" t="s">
        <v>29</v>
      </c>
      <c r="D6">
        <f ca="1">SUM(Tabela5[Depósitos reservados])</f>
        <v>4362</v>
      </c>
    </row>
    <row r="7" spans="3:4" ht="15" x14ac:dyDescent="0.25">
      <c r="C7" s="8" t="s">
        <v>30</v>
      </c>
      <c r="D7">
        <v>20000</v>
      </c>
    </row>
    <row r="10" spans="3:4" x14ac:dyDescent="0.2">
      <c r="C10" t="s">
        <v>27</v>
      </c>
      <c r="D10" t="s">
        <v>28</v>
      </c>
    </row>
    <row r="11" spans="3:4" x14ac:dyDescent="0.2">
      <c r="C11" s="1">
        <v>45603</v>
      </c>
      <c r="D11">
        <v>500</v>
      </c>
    </row>
    <row r="12" spans="3:4" x14ac:dyDescent="0.2">
      <c r="C12" s="1">
        <v>45604</v>
      </c>
      <c r="D12">
        <f ca="1">RANDBETWEEN(50,800)</f>
        <v>773</v>
      </c>
    </row>
    <row r="13" spans="3:4" x14ac:dyDescent="0.2">
      <c r="C13" s="1">
        <v>45605</v>
      </c>
      <c r="D13">
        <f t="shared" ref="D13:D17" ca="1" si="0">RANDBETWEEN(50,800)</f>
        <v>657</v>
      </c>
    </row>
    <row r="14" spans="3:4" x14ac:dyDescent="0.2">
      <c r="C14" s="1">
        <v>45606</v>
      </c>
      <c r="D14">
        <f t="shared" ca="1" si="0"/>
        <v>693</v>
      </c>
    </row>
    <row r="15" spans="3:4" x14ac:dyDescent="0.2">
      <c r="C15" s="1">
        <v>45607</v>
      </c>
      <c r="D15">
        <f t="shared" ca="1" si="0"/>
        <v>108</v>
      </c>
    </row>
    <row r="16" spans="3:4" x14ac:dyDescent="0.2">
      <c r="C16" s="1">
        <v>45608</v>
      </c>
      <c r="D16">
        <f t="shared" ca="1" si="0"/>
        <v>782</v>
      </c>
    </row>
    <row r="17" spans="3:4" x14ac:dyDescent="0.2">
      <c r="C17" s="1">
        <v>45609</v>
      </c>
      <c r="D17">
        <f t="shared" ca="1" si="0"/>
        <v>618</v>
      </c>
    </row>
    <row r="18" spans="3:4" x14ac:dyDescent="0.2">
      <c r="C18" s="1">
        <v>45610</v>
      </c>
      <c r="D18">
        <f ca="1">RANDBETWEEN(50,800)</f>
        <v>231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75C0-C83C-4139-A735-3FA5FA3AA30A}">
  <dimension ref="A14:K14"/>
  <sheetViews>
    <sheetView showGridLines="0" tabSelected="1" zoomScale="70" zoomScaleNormal="70" workbookViewId="0">
      <selection activeCell="C13" sqref="C13"/>
    </sheetView>
  </sheetViews>
  <sheetFormatPr defaultColWidth="0" defaultRowHeight="14.25" x14ac:dyDescent="0.2"/>
  <cols>
    <col min="1" max="1" width="19.5" style="4" customWidth="1"/>
    <col min="2" max="17" width="9" style="5" customWidth="1"/>
    <col min="18" max="16384" width="9" style="5" hidden="1"/>
  </cols>
  <sheetData>
    <row r="14" spans="11:11" x14ac:dyDescent="0.2">
      <c r="K14" s="5" t="s">
        <v>1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</vt:lpstr>
      <vt:lpstr>Controller</vt:lpstr>
      <vt:lpstr>caixinha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Jayce</dc:creator>
  <cp:lastModifiedBy>Jayce Naiara Gomes Alves</cp:lastModifiedBy>
  <dcterms:created xsi:type="dcterms:W3CDTF">2025-01-13T00:10:30Z</dcterms:created>
  <dcterms:modified xsi:type="dcterms:W3CDTF">2025-01-13T03:36:22Z</dcterms:modified>
</cp:coreProperties>
</file>